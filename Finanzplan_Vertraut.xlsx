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z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Höchstsatz Einzelbetreuung NRW 2026 = 32,50 €; mit Stadt Köln bestätigen.</t>
        </r>
      </text>
    </comment>
    <comment ref="B6" authorId="0">
      <text>
        <r>
          <rPr>
            <sz val="10"/>
            <rFont val="Arial"/>
            <family val="2"/>
          </rPr>
          <t xml:space="preserve">Empfehlung 15–18 €/h (Werkstudent). Absolute Obergrenze ~29,50 €.</t>
        </r>
      </text>
    </comment>
    <comment ref="B7" authorId="0">
      <text>
        <r>
          <rPr>
            <sz val="10"/>
            <rFont val="Arial"/>
            <family val="2"/>
          </rPr>
          <t xml:space="preserve">Werkstudent ~10 % (nur RV) + BGW. Minijob dagegen ~32 %.</t>
        </r>
      </text>
    </comment>
    <comment ref="B8" authorId="0">
      <text>
        <r>
          <rPr>
            <sz val="10"/>
            <rFont val="Arial"/>
            <family val="2"/>
          </rPr>
          <t xml:space="preserve">Anteil abrechenbarer an bezahlten Stunden. Fahrt/Leerzeit senkt diesen Wert.</t>
        </r>
      </text>
    </comment>
    <comment ref="B9" authorId="0">
      <text>
        <r>
          <rPr>
            <sz val="10"/>
            <rFont val="Arial"/>
            <family val="2"/>
          </rPr>
          <t xml:space="preserve">Miete, IT, StB, Versicherung, Marketing, Gründerlohn (Planannahme).</t>
        </r>
      </text>
    </comment>
    <comment ref="B10" authorId="0">
      <text>
        <r>
          <rPr>
            <sz val="10"/>
            <rFont val="Arial"/>
            <family val="2"/>
          </rPr>
          <t xml:space="preserve">Annahme: ~40 Kunden ≈ 340 Std. → 8,5 Std./Kunde.</t>
        </r>
      </text>
    </comment>
  </commentList>
</comments>
</file>

<file path=xl/sharedStrings.xml><?xml version="1.0" encoding="utf-8"?>
<sst xmlns="http://schemas.openxmlformats.org/spreadsheetml/2006/main" count="27" uniqueCount="27">
  <si>
    <t xml:space="preserve">Vertraut — Finanzplan &amp; Break-even (Startphase)</t>
  </si>
  <si>
    <t xml:space="preserve">Gelb hinterlegte Felder sind editierbar. Alles andere rechnet automatisch. Annahmen: Recherchestand 2026, ohne Gewähr.</t>
  </si>
  <si>
    <t xml:space="preserve">ANNAHMEN (editierbar)</t>
  </si>
  <si>
    <t xml:space="preserve">Preis je abrechenbare Std. (€)</t>
  </si>
  <si>
    <t xml:space="preserve">Bruttolohn Betreuungskraft (€/h)</t>
  </si>
  <si>
    <t xml:space="preserve">Arbeitgeber-Nebenkosten (%)</t>
  </si>
  <si>
    <t xml:space="preserve">Produktivität (abrechenbar/bezahlt)</t>
  </si>
  <si>
    <t xml:space="preserve">Fixkosten pro Monat (€)</t>
  </si>
  <si>
    <t xml:space="preserve">Abrechenbare Std. je Kunde/Monat</t>
  </si>
  <si>
    <t xml:space="preserve">ERGEBNIS JE STUNDE</t>
  </si>
  <si>
    <t xml:space="preserve">Lohnkosten je bezahlte Std. (€)</t>
  </si>
  <si>
    <t xml:space="preserve">Deckungsbeitrag je Std. — ohne Nebenzeiten (€)</t>
  </si>
  <si>
    <t xml:space="preserve">DB-Marge — ohne Nebenzeiten (%)</t>
  </si>
  <si>
    <t xml:space="preserve">Lohnkosten je abrechenbare Std. — real (€)</t>
  </si>
  <si>
    <t xml:space="preserve">Deckungsbeitrag je Std. — real (€)</t>
  </si>
  <si>
    <t xml:space="preserve">DB-Marge — real (%)</t>
  </si>
  <si>
    <t xml:space="preserve">BREAK-EVEN (auf Basis realem DB)</t>
  </si>
  <si>
    <t xml:space="preserve">Break-even — abrechenbare Std./Monat</t>
  </si>
  <si>
    <t xml:space="preserve">Break-even — Kunden</t>
  </si>
  <si>
    <t xml:space="preserve">LOHN-SZENARIEN</t>
  </si>
  <si>
    <t xml:space="preserve">Bruttolohn (€/h)</t>
  </si>
  <si>
    <t xml:space="preserve">Kosten/Std. bezahlt (€)</t>
  </si>
  <si>
    <t xml:space="preserve">DB/Std. ohne Nebenz. (€)</t>
  </si>
  <si>
    <t xml:space="preserve">DB/Std. real (€)</t>
  </si>
  <si>
    <t xml:space="preserve">Break-even Kunden</t>
  </si>
  <si>
    <t xml:space="preserve">Hinweis: „real" berücksichtigt Nebenzeiten (Fahrt/Leerlauf) über die Produktivität; „ohne Nebenzeiten" = reine Einsatzstunde.</t>
  </si>
  <si>
    <t xml:space="preserve">Bei BetreuungsPlus (privat) ist der Preis frei — höhere Löhne dort über einen höheren Preis finanzierbar.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</si>
</sst>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%"/>
    <numFmt numFmtId="167" formatCode="#,##0&quot; €&quot;"/>
    <numFmt numFmtId="168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323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4323C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3C4"/>
        <bgColor rgb="FFFFFF99"/>
      </patternFill>
    </fill>
    <fill>
      <patternFill patternType="solid">
        <fgColor rgb="FF14323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32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32.5</v>
      </c>
    </row>
    <row r="6" customFormat="false" ht="15" hidden="false" customHeight="false" outlineLevel="0" collapsed="false">
      <c r="A6" s="4" t="s">
        <v>4</v>
      </c>
      <c r="B6" s="5" t="n">
        <v>16</v>
      </c>
    </row>
    <row r="7" customFormat="false" ht="15" hidden="false" customHeight="false" outlineLevel="0" collapsed="false">
      <c r="A7" s="4" t="s">
        <v>5</v>
      </c>
      <c r="B7" s="6" t="n">
        <v>0.1</v>
      </c>
    </row>
    <row r="8" customFormat="false" ht="15" hidden="false" customHeight="false" outlineLevel="0" collapsed="false">
      <c r="A8" s="4" t="s">
        <v>6</v>
      </c>
      <c r="B8" s="6" t="n">
        <v>0.85</v>
      </c>
    </row>
    <row r="9" customFormat="false" ht="15" hidden="false" customHeight="false" outlineLevel="0" collapsed="false">
      <c r="A9" s="4" t="s">
        <v>7</v>
      </c>
      <c r="B9" s="7" t="n">
        <v>3300</v>
      </c>
    </row>
    <row r="10" customFormat="false" ht="15" hidden="false" customHeight="false" outlineLevel="0" collapsed="false">
      <c r="A10" s="4" t="s">
        <v>8</v>
      </c>
      <c r="B10" s="8" t="n">
        <v>8.5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9" t="n">
        <f aca="false">B6*(1+B7)</f>
        <v>17.6</v>
      </c>
    </row>
    <row r="14" customFormat="false" ht="15" hidden="false" customHeight="false" outlineLevel="0" collapsed="false">
      <c r="A14" s="4" t="s">
        <v>11</v>
      </c>
      <c r="B14" s="9" t="n">
        <f aca="false">B5-B13</f>
        <v>14.9</v>
      </c>
    </row>
    <row r="15" customFormat="false" ht="15" hidden="false" customHeight="false" outlineLevel="0" collapsed="false">
      <c r="A15" s="4" t="s">
        <v>12</v>
      </c>
      <c r="B15" s="10" t="n">
        <f aca="false">IF(B5=0,0,B14/B5)</f>
        <v>0.458461538461538</v>
      </c>
    </row>
    <row r="16" customFormat="false" ht="15" hidden="false" customHeight="false" outlineLevel="0" collapsed="false">
      <c r="A16" s="4" t="s">
        <v>13</v>
      </c>
      <c r="B16" s="9" t="n">
        <f aca="false">IF(B8=0,0,B13/B8)</f>
        <v>20.7058823529412</v>
      </c>
    </row>
    <row r="17" customFormat="false" ht="15" hidden="false" customHeight="false" outlineLevel="0" collapsed="false">
      <c r="A17" s="4" t="s">
        <v>14</v>
      </c>
      <c r="B17" s="11" t="n">
        <f aca="false">B5-B16</f>
        <v>11.7941176470588</v>
      </c>
    </row>
    <row r="18" customFormat="false" ht="15" hidden="false" customHeight="false" outlineLevel="0" collapsed="false">
      <c r="A18" s="4" t="s">
        <v>15</v>
      </c>
      <c r="B18" s="10" t="n">
        <f aca="false">IF(B5=0,0,B17/B5)</f>
        <v>0.36289592760181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4" t="s">
        <v>17</v>
      </c>
      <c r="B21" s="12" t="n">
        <f aca="false">IF(B17&lt;=0,"n.a.",B9/B17)</f>
        <v>279.800498753117</v>
      </c>
    </row>
    <row r="22" customFormat="false" ht="15" hidden="false" customHeight="false" outlineLevel="0" collapsed="false">
      <c r="A22" s="4" t="s">
        <v>18</v>
      </c>
      <c r="B22" s="13" t="n">
        <f aca="false">IF(B17&lt;=0,"n.a.",B21/B10)</f>
        <v>32.9177057356608</v>
      </c>
    </row>
    <row r="24" customFormat="false" ht="15" hidden="false" customHeight="false" outlineLevel="0" collapsed="false">
      <c r="A24" s="3" t="s">
        <v>19</v>
      </c>
    </row>
    <row r="25" customFormat="false" ht="30" hidden="false" customHeight="true" outlineLevel="0" collapsed="false">
      <c r="A25" s="14" t="s">
        <v>20</v>
      </c>
      <c r="B25" s="14" t="s">
        <v>21</v>
      </c>
      <c r="C25" s="14" t="s">
        <v>22</v>
      </c>
      <c r="D25" s="14" t="s">
        <v>23</v>
      </c>
      <c r="E25" s="14" t="s">
        <v>24</v>
      </c>
    </row>
    <row r="26" customFormat="false" ht="15" hidden="false" customHeight="false" outlineLevel="0" collapsed="false">
      <c r="A26" s="5" t="n">
        <v>15</v>
      </c>
      <c r="B26" s="15" t="n">
        <f aca="false">A26*(1+$B$7)</f>
        <v>16.5</v>
      </c>
      <c r="C26" s="15" t="n">
        <f aca="false">$B$5-B26</f>
        <v>16</v>
      </c>
      <c r="D26" s="15" t="n">
        <f aca="false">$B$5-B26/$B$8</f>
        <v>13.0882352941176</v>
      </c>
      <c r="E26" s="16" t="n">
        <f aca="false">IF(D26&lt;=0,"n.a.",($B$9/D26)/$B$10)</f>
        <v>29.6629213483146</v>
      </c>
    </row>
    <row r="27" customFormat="false" ht="15" hidden="false" customHeight="false" outlineLevel="0" collapsed="false">
      <c r="A27" s="5" t="n">
        <v>16</v>
      </c>
      <c r="B27" s="15" t="n">
        <f aca="false">A27*(1+$B$7)</f>
        <v>17.6</v>
      </c>
      <c r="C27" s="15" t="n">
        <f aca="false">$B$5-B27</f>
        <v>14.9</v>
      </c>
      <c r="D27" s="15" t="n">
        <f aca="false">$B$5-B27/$B$8</f>
        <v>11.7941176470588</v>
      </c>
      <c r="E27" s="16" t="n">
        <f aca="false">IF(D27&lt;=0,"n.a.",($B$9/D27)/$B$10)</f>
        <v>32.9177057356608</v>
      </c>
    </row>
    <row r="28" customFormat="false" ht="15" hidden="false" customHeight="false" outlineLevel="0" collapsed="false">
      <c r="A28" s="5" t="n">
        <v>17</v>
      </c>
      <c r="B28" s="15" t="n">
        <f aca="false">A28*(1+$B$7)</f>
        <v>18.7</v>
      </c>
      <c r="C28" s="15" t="n">
        <f aca="false">$B$5-B28</f>
        <v>13.8</v>
      </c>
      <c r="D28" s="15" t="n">
        <f aca="false">$B$5-B28/$B$8</f>
        <v>10.5</v>
      </c>
      <c r="E28" s="16" t="n">
        <f aca="false">IF(D28&lt;=0,"n.a.",($B$9/D28)/$B$10)</f>
        <v>36.9747899159664</v>
      </c>
    </row>
    <row r="29" customFormat="false" ht="15" hidden="false" customHeight="false" outlineLevel="0" collapsed="false">
      <c r="A29" s="5" t="n">
        <v>18</v>
      </c>
      <c r="B29" s="15" t="n">
        <f aca="false">A29*(1+$B$7)</f>
        <v>19.8</v>
      </c>
      <c r="C29" s="15" t="n">
        <f aca="false">$B$5-B29</f>
        <v>12.7</v>
      </c>
      <c r="D29" s="15" t="n">
        <f aca="false">$B$5-B29/$B$8</f>
        <v>9.20588235294117</v>
      </c>
      <c r="E29" s="16" t="n">
        <f aca="false">IF(D29&lt;=0,"n.a.",($B$9/D29)/$B$10)</f>
        <v>42.1725239616614</v>
      </c>
    </row>
    <row r="30" customFormat="false" ht="15" hidden="false" customHeight="false" outlineLevel="0" collapsed="false">
      <c r="A30" s="5" t="n">
        <v>20</v>
      </c>
      <c r="B30" s="15" t="n">
        <f aca="false">A30*(1+$B$7)</f>
        <v>22</v>
      </c>
      <c r="C30" s="15" t="n">
        <f aca="false">$B$5-B30</f>
        <v>10.5</v>
      </c>
      <c r="D30" s="15" t="n">
        <f aca="false">$B$5-B30/$B$8</f>
        <v>6.61764705882353</v>
      </c>
      <c r="E30" s="16" t="n">
        <f aca="false">IF(D30&lt;=0,"n.a.",($B$9/D30)/$B$10)</f>
        <v>58.6666666666667</v>
      </c>
    </row>
    <row r="31" customFormat="false" ht="15" hidden="false" customHeight="false" outlineLevel="0" collapsed="false">
      <c r="A31" s="5" t="n">
        <v>22</v>
      </c>
      <c r="B31" s="15" t="n">
        <f aca="false">A31*(1+$B$7)</f>
        <v>24.2</v>
      </c>
      <c r="C31" s="15" t="n">
        <f aca="false">$B$5-B31</f>
        <v>8.3</v>
      </c>
      <c r="D31" s="15" t="n">
        <f aca="false">$B$5-B31/$B$8</f>
        <v>4.02941176470588</v>
      </c>
      <c r="E31" s="16" t="n">
        <f aca="false">IF(D31&lt;=0,"n.a.",($B$9/D31)/$B$10)</f>
        <v>96.3503649635038</v>
      </c>
    </row>
    <row r="32" customFormat="false" ht="15" hidden="false" customHeight="false" outlineLevel="0" collapsed="false">
      <c r="A32" s="5" t="n">
        <v>25</v>
      </c>
      <c r="B32" s="15" t="n">
        <f aca="false">A32*(1+$B$7)</f>
        <v>27.5</v>
      </c>
      <c r="C32" s="15" t="n">
        <f aca="false">$B$5-B32</f>
        <v>5</v>
      </c>
      <c r="D32" s="15" t="n">
        <f aca="false">$B$5-B32/$B$8</f>
        <v>0.147058823529406</v>
      </c>
      <c r="E32" s="16" t="n">
        <f aca="false">IF(D32&lt;=0,"n.a.",($B$9/D32)/$B$10)</f>
        <v>2640.00000000011</v>
      </c>
    </row>
    <row r="34" customFormat="false" ht="15" hidden="false" customHeight="false" outlineLevel="0" collapsed="false">
      <c r="A34" s="17" t="s">
        <v>25</v>
      </c>
    </row>
    <row r="35" customFormat="false" ht="15" hidden="false" customHeight="false" outlineLevel="0" collapsed="false">
      <c r="A35" s="17" t="s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2026-08-11T13:19:48Z</dcterms:created>
  <dc:creator>openpyxl</dc:creator>
  <dc:description/>
  <dc:language>en-US</dc:language>
  <cp:lastModifiedBy/>
  <dcterms:modified xsi:type="dcterms:W3CDTF">2026-08-11T13:19:49Z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